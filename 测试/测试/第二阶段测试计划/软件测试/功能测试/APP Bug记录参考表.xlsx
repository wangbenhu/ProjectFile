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30"/>
  </bookViews>
  <sheets>
    <sheet name="缺陷记录" sheetId="1" r:id="rId1"/>
    <sheet name="统计" sheetId="4" r:id="rId2"/>
  </sheets>
  <definedNames>
    <definedName name="_xlnm._FilterDatabase" localSheetId="0" hidden="1">缺陷记录!$A$1:$Q$8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E611CF559E1F4E0792382F027C696B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617450" y="1955800"/>
          <a:ext cx="2067560" cy="91567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<sst xmlns="http://schemas.openxmlformats.org/spreadsheetml/2006/main" count="52" uniqueCount="41">
  <si>
    <t>Bug ID</t>
  </si>
  <si>
    <t>发现人</t>
  </si>
  <si>
    <t>发现日期</t>
  </si>
  <si>
    <t>问题描述</t>
  </si>
  <si>
    <t>复现步骤</t>
  </si>
  <si>
    <t>预期结果</t>
  </si>
  <si>
    <t>实际结果</t>
  </si>
  <si>
    <t>备注</t>
  </si>
  <si>
    <t>复现率</t>
  </si>
  <si>
    <t>严重程度</t>
  </si>
  <si>
    <t>App版本</t>
  </si>
  <si>
    <t>固件版本</t>
  </si>
  <si>
    <t>APP修复版本</t>
  </si>
  <si>
    <t>回归验证</t>
  </si>
  <si>
    <t>状态</t>
  </si>
  <si>
    <t>处理截止</t>
  </si>
  <si>
    <t>关闭时间</t>
  </si>
  <si>
    <t>BUG-0903-001</t>
  </si>
  <si>
    <t>程君霞</t>
  </si>
  <si>
    <t>云端下发格式不符合新版协议：0,7,"pet/collar/89860423192440087532/cmd/control/deviceMode",191,"{"ts":1788314593,"reqId":"req_pazv","ds":2,"cmd":"deviceMode","params":{"setMode":2,"currentMode":2,"gpsInterval":10,"vibrationSwitch":0,"vibrationTime":0,"lightSwitch":1,"lightFrequence":0}}</t>
  </si>
  <si>
    <t>致命</t>
  </si>
  <si>
    <t>V2.0.5</t>
  </si>
  <si>
    <t>BUG-0903-002</t>
  </si>
  <si>
    <t>充电模式不响应控制质量，设备在充电时上报的状态里包含了充电中标志，APP/云端需要根据该状态标志不再下发控制指令（目前M4模式云端一直下发更新模式的指令）</t>
  </si>
  <si>
    <t>严重</t>
  </si>
  <si>
    <t>BUG-0903-003</t>
  </si>
  <si>
    <t>deviceInformation字段按照最新协议已更新为deviceInfo</t>
  </si>
  <si>
    <t>-</t>
  </si>
  <si>
    <t>说明：J/K/W/C 列已设置下拉选项；示例数据仅供参考，请替换为实际记录。</t>
  </si>
  <si>
    <t>缺陷统计（基于「缺陷记录」自动计算）</t>
  </si>
  <si>
    <t>指标</t>
  </si>
  <si>
    <t>数量</t>
  </si>
  <si>
    <t>计算方式</t>
  </si>
  <si>
    <t>缺陷总数</t>
  </si>
  <si>
    <t/>
  </si>
  <si>
    <t>未关闭(New+Open+Fixed+Reopened)</t>
  </si>
  <si>
    <t>已关闭(Closed)</t>
  </si>
  <si>
    <t>致命缺陷</t>
  </si>
  <si>
    <t>严重缺陷</t>
  </si>
  <si>
    <t>回归验证通过</t>
  </si>
  <si>
    <t>回归验证失败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</si>
</sst>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b/>
      <sz val="10"/>
      <color rgb="FFFFFFFF"/>
      <name val="微软雅黑"/>
      <charset val="134"/>
    </font>
    <font>
      <sz val="10"/>
      <name val="微软雅黑"/>
      <charset val="134"/>
    </font>
    <font>
      <i/>
      <sz val="9"/>
      <color rgb="FF5F5E5A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85F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0" fillId="0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vertical="top" wrapText="1"/>
    </xf>
    <xf numFmtId="0" fontId="4" fillId="0" borderId="0" xfId="0" applyFont="1"/>
    <xf numFmtId="9" fontId="3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pane ySplit="1" topLeftCell="A2" activePane="bottomLeft" state="frozen"/>
      <selection/>
      <selection pane="bottomLeft" activeCell="F3" sqref="F3"/>
    </sheetView>
  </sheetViews>
  <sheetFormatPr defaultColWidth="9" defaultRowHeight="14" outlineLevelRow="7"/>
  <cols>
    <col min="1" max="1" width="14" customWidth="1"/>
    <col min="2" max="2" width="8" customWidth="1"/>
    <col min="3" max="3" width="11" customWidth="1"/>
    <col min="4" max="5" width="46" customWidth="1"/>
    <col min="6" max="7" width="26" customWidth="1"/>
    <col min="8" max="9" width="12" customWidth="1"/>
    <col min="10" max="12" width="9" customWidth="1"/>
    <col min="13" max="13" width="12.0909090909091" customWidth="1"/>
    <col min="14" max="14" width="12" customWidth="1"/>
    <col min="15" max="15" width="10" customWidth="1"/>
    <col min="16" max="17" width="11" customWidth="1"/>
  </cols>
  <sheetData>
    <row r="1" ht="14.5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ht="112" spans="1:17">
      <c r="A2" s="5" t="s">
        <v>17</v>
      </c>
      <c r="B2" s="5" t="s">
        <v>18</v>
      </c>
      <c r="C2" s="6">
        <v>46268</v>
      </c>
      <c r="D2" s="7" t="s">
        <v>19</v>
      </c>
      <c r="E2" s="8"/>
      <c r="F2" s="8"/>
      <c r="G2" s="8"/>
      <c r="H2" s="5"/>
      <c r="I2" s="10"/>
      <c r="J2" s="5" t="s">
        <v>20</v>
      </c>
      <c r="K2" s="5" t="s">
        <v>21</v>
      </c>
      <c r="L2" s="5"/>
      <c r="M2" s="5"/>
      <c r="N2" s="5"/>
      <c r="O2" s="5"/>
      <c r="P2" s="5"/>
      <c r="Q2" s="5"/>
    </row>
    <row r="3" ht="56" spans="1:17">
      <c r="A3" s="5" t="s">
        <v>22</v>
      </c>
      <c r="B3" s="5" t="s">
        <v>18</v>
      </c>
      <c r="C3" s="6">
        <v>46268</v>
      </c>
      <c r="D3" s="7" t="s">
        <v>23</v>
      </c>
      <c r="E3" s="8"/>
      <c r="F3" s="8"/>
      <c r="G3" s="8"/>
      <c r="H3" s="5" t="str">
        <f>_xlfn.DISPIMG("ID_E611CF559E1F4E0792382F027C696B29",1)</f>
        <v>=DISPIMG("ID_E611CF559E1F4E0792382F027C696B29",1)</v>
      </c>
      <c r="I3" s="10"/>
      <c r="J3" s="5" t="s">
        <v>24</v>
      </c>
      <c r="K3" s="5" t="s">
        <v>21</v>
      </c>
      <c r="L3" s="5"/>
      <c r="M3" s="5"/>
      <c r="N3" s="5"/>
      <c r="O3" s="5"/>
      <c r="P3" s="5"/>
      <c r="Q3" s="5"/>
    </row>
    <row r="4" ht="28" spans="1:17">
      <c r="A4" s="5" t="s">
        <v>25</v>
      </c>
      <c r="B4" s="5" t="s">
        <v>18</v>
      </c>
      <c r="C4" s="6">
        <v>46268</v>
      </c>
      <c r="D4" s="7" t="s">
        <v>26</v>
      </c>
      <c r="E4" s="8"/>
      <c r="F4" s="8"/>
      <c r="G4" s="8"/>
      <c r="H4" s="5"/>
      <c r="I4" s="10"/>
      <c r="J4" s="5" t="s">
        <v>24</v>
      </c>
      <c r="K4" s="5" t="s">
        <v>21</v>
      </c>
      <c r="L4" s="5"/>
      <c r="M4" s="5"/>
      <c r="N4" s="5"/>
      <c r="O4" s="5"/>
      <c r="P4" s="5"/>
      <c r="Q4" s="5"/>
    </row>
    <row r="5" ht="14.5" spans="1:17">
      <c r="A5" s="5"/>
      <c r="B5" s="5"/>
      <c r="C5" s="5"/>
      <c r="D5" s="8"/>
      <c r="E5" s="8"/>
      <c r="F5" s="8"/>
      <c r="G5" s="8"/>
      <c r="H5" s="5"/>
      <c r="I5" s="5"/>
      <c r="J5" s="5"/>
      <c r="K5" s="5"/>
      <c r="L5" s="5"/>
      <c r="M5" s="5"/>
      <c r="N5" s="5"/>
      <c r="O5" s="5"/>
      <c r="P5" s="5"/>
      <c r="Q5" s="5"/>
    </row>
    <row r="6" ht="14.5" spans="1:17">
      <c r="A6" s="5"/>
      <c r="B6" s="5"/>
      <c r="C6" s="5"/>
      <c r="D6" s="8"/>
      <c r="E6" s="8"/>
      <c r="F6" s="8"/>
      <c r="G6" s="8"/>
      <c r="H6" s="5"/>
      <c r="I6" s="5"/>
      <c r="J6" s="5"/>
      <c r="K6" s="5"/>
      <c r="L6" s="5" t="s">
        <v>27</v>
      </c>
      <c r="M6" s="5"/>
      <c r="N6" s="5"/>
      <c r="O6" s="5"/>
      <c r="P6" s="5"/>
      <c r="Q6" s="5"/>
    </row>
    <row r="8" spans="1:1">
      <c r="A8" s="9" t="s">
        <v>28</v>
      </c>
    </row>
  </sheetData>
  <autoFilter xmlns:etc="http://www.wps.cn/officeDocument/2017/etCustomData" ref="A1:Q8" etc:filterBottomFollowUsedRange="0">
    <extLst/>
  </autoFilter>
  <dataValidations count="2">
    <dataValidation type="list" allowBlank="1" showErrorMessage="1" errorTitle="输入错误" error="请从下拉列表中选择。" sqref="J2:J201">
      <formula1>"致命,严重,一般,轻微"</formula1>
    </dataValidation>
    <dataValidation type="list" allowBlank="1" showErrorMessage="1" errorTitle="输入错误" error="请从下拉列表中选择。" sqref="O2:O201">
      <formula1>"New,Open,Fixed,Verified,Closed,Reopened"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selection activeCell="B16" sqref="B16"/>
    </sheetView>
  </sheetViews>
  <sheetFormatPr defaultColWidth="9" defaultRowHeight="14" outlineLevelCol="2"/>
  <cols>
    <col min="1" max="1" width="24" customWidth="1"/>
    <col min="2" max="2" width="10" customWidth="1"/>
    <col min="3" max="3" width="60" customWidth="1"/>
  </cols>
  <sheetData>
    <row r="1" ht="16.5" spans="1:1">
      <c r="A1" s="1" t="s">
        <v>29</v>
      </c>
    </row>
    <row r="3" ht="14.5" spans="1:3">
      <c r="A3" s="2" t="s">
        <v>30</v>
      </c>
      <c r="B3" s="2" t="s">
        <v>31</v>
      </c>
      <c r="C3" s="2" t="s">
        <v>32</v>
      </c>
    </row>
    <row r="4" ht="14.5" spans="1:3">
      <c r="A4" s="3" t="s">
        <v>33</v>
      </c>
      <c r="B4" s="4">
        <v>3</v>
      </c>
      <c r="C4" s="4" t="s">
        <v>34</v>
      </c>
    </row>
    <row r="5" ht="14.5" spans="1:3">
      <c r="A5" s="3" t="s">
        <v>35</v>
      </c>
      <c r="B5" s="4">
        <f>SUMPRODUCT(--ISNUMBER(MATCH(缺陷记录!O2:O201,{"New","Open","Fixed","Reopened"},0)))</f>
        <v>0</v>
      </c>
      <c r="C5" s="4" t="s">
        <v>34</v>
      </c>
    </row>
    <row r="6" ht="14.5" spans="1:3">
      <c r="A6" s="3" t="s">
        <v>36</v>
      </c>
      <c r="B6" s="4">
        <f>COUNTIF(缺陷记录!O2:O201,"Closed")</f>
        <v>0</v>
      </c>
      <c r="C6" s="4" t="s">
        <v>34</v>
      </c>
    </row>
    <row r="7" ht="14.5" spans="1:3">
      <c r="A7" s="3" t="s">
        <v>37</v>
      </c>
      <c r="B7" s="4">
        <f>COUNTIF(缺陷记录!J2:J201,"致命")</f>
        <v>1</v>
      </c>
      <c r="C7" s="4" t="s">
        <v>34</v>
      </c>
    </row>
    <row r="8" ht="14.5" spans="1:3">
      <c r="A8" s="3" t="s">
        <v>38</v>
      </c>
      <c r="B8" s="4">
        <f>COUNTIF(缺陷记录!J2:J201,"严重")</f>
        <v>2</v>
      </c>
      <c r="C8" s="4" t="s">
        <v>34</v>
      </c>
    </row>
    <row r="9" ht="14.5" spans="1:3">
      <c r="A9" s="3" t="s">
        <v>39</v>
      </c>
      <c r="B9" s="4">
        <f>COUNTIF(缺陷记录!N2:N201,"验证通过")</f>
        <v>0</v>
      </c>
      <c r="C9" s="4" t="s">
        <v>34</v>
      </c>
    </row>
    <row r="10" ht="14.5" spans="1:3">
      <c r="A10" s="3" t="s">
        <v>40</v>
      </c>
      <c r="B10" s="4">
        <f>COUNTIF(缺陷记录!N2:N201,"*失败*")</f>
        <v>0</v>
      </c>
      <c r="C10" s="4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缺陷记录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月落乌瞳泪成虹！</cp:lastModifiedBy>
  <dcterms:created xsi:type="dcterms:W3CDTF">2026-08-31T09:23:00Z</dcterms:created>
  <dcterms:modified xsi:type="dcterms:W3CDTF">2026-09-03T09:56:20Z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A2A52C8C5EB84426BB18349C1893FE0A_12</vt:lpwstr>
  </property>
  <property fmtid="{D5CDD505-2E9C-101B-9397-08002B2CF9AE}" pid="3" name="KSOProductBuildVer">
    <vt:lpwstr>2052-12.1.0.20305</vt:lpwstr>
  </property>
</Properties>
</file>