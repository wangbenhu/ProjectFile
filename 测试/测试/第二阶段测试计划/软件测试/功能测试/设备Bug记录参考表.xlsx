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缺陷记录" sheetId="1" r:id="rId1"/>
    <sheet name="字段说明" sheetId="2" r:id="rId2"/>
    <sheet name="状态流转" sheetId="3" r:id="rId3"/>
    <sheet name="统计" sheetId="4" r:id="rId4"/>
  </sheets>
  <definedNames>
    <definedName name="_xlnm._FilterDatabase" localSheetId="0" hidden="1">缺陷记录!$A$1:$X$5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<sst xmlns="http://schemas.openxmlformats.org/spreadsheetml/2006/main" count="239" uniqueCount="159">
  <si>
    <t>Bug ID</t>
  </si>
  <si>
    <t>标题</t>
  </si>
  <si>
    <t>所属项目</t>
  </si>
  <si>
    <t>发现人</t>
  </si>
  <si>
    <t>发现日期</t>
  </si>
  <si>
    <t>复现步骤</t>
  </si>
  <si>
    <t>预期结果</t>
  </si>
  <si>
    <t>实际结果</t>
  </si>
  <si>
    <t>复现率</t>
  </si>
  <si>
    <t>严重程度</t>
  </si>
  <si>
    <t>优先级</t>
  </si>
  <si>
    <t>手机型号</t>
  </si>
  <si>
    <t>系统版本</t>
  </si>
  <si>
    <t>App版本</t>
  </si>
  <si>
    <t>固件版本</t>
  </si>
  <si>
    <t>根因分析</t>
  </si>
  <si>
    <t>涉及模块</t>
  </si>
  <si>
    <t>修复方案</t>
  </si>
  <si>
    <t>修复版本</t>
  </si>
  <si>
    <t>回归验证</t>
  </si>
  <si>
    <t>状态</t>
  </si>
  <si>
    <t>指派给</t>
  </si>
  <si>
    <t>处理截止</t>
  </si>
  <si>
    <t>关闭时间</t>
  </si>
  <si>
    <t>BUG-0831-001</t>
  </si>
  <si>
    <t>连接成功后约 3 秒自动断开</t>
  </si>
  <si>
    <t>PRJ-01 蓝牙扫描与连接</t>
  </si>
  <si>
    <t>张三</t>
  </si>
  <si>
    <t>2026-08-31</t>
  </si>
  <si>
    <t>1. 进入「附近蓝牙设备」页并连接设备；2. 连接成功后走动至约 2 米处；3. 观察连接状态</t>
  </si>
  <si>
    <t>连接保持稳定，弱信号下不断开</t>
  </si>
  <si>
    <t>约 3 秒后自动断开，列表显示可重新连接</t>
  </si>
  <si>
    <t>必现(100%)</t>
  </si>
  <si>
    <t>严重</t>
  </si>
  <si>
    <t>P0</t>
  </si>
  <si>
    <t>iPhone 15 Pro</t>
  </si>
  <si>
    <t>iOS 17.5</t>
  </si>
  <si>
    <t>V1.2.0</t>
  </si>
  <si>
    <t>V2.1.3</t>
  </si>
  <si>
    <t/>
  </si>
  <si>
    <t>New</t>
  </si>
  <si>
    <t>李四</t>
  </si>
  <si>
    <t>2026-09-01</t>
  </si>
  <si>
    <t>BUG-0831-002</t>
  </si>
  <si>
    <t>扫描列表 RSSI 数值长时间不刷新</t>
  </si>
  <si>
    <t>1. 进入列表页；2. 设备静止放置在桌面；3. 连续观察 30 秒</t>
  </si>
  <si>
    <t>RSSI 数值周期性刷新（约每 2~3 秒）</t>
  </si>
  <si>
    <t>数值停留在 -58 dBm 不变</t>
  </si>
  <si>
    <t>偶现(约30%)</t>
  </si>
  <si>
    <t>一般</t>
  </si>
  <si>
    <t>P2</t>
  </si>
  <si>
    <t>华为 Mate 60</t>
  </si>
  <si>
    <t>HarmonyOS 4.2</t>
  </si>
  <si>
    <t>2026-09-03</t>
  </si>
  <si>
    <t>BUG-0831-003</t>
  </si>
  <si>
    <t>低电量时发起固件升级失败且无法重试</t>
  </si>
  <si>
    <t>PRJ-05 固件升级（OTA/DFU）</t>
  </si>
  <si>
    <t>王五</t>
  </si>
  <si>
    <t>1. 设备电量充至 18%；2. 在 App 发起固件升级；3. 观察弹窗与升级进度</t>
  </si>
  <si>
    <t>提示电量不足并拒绝升级，充电后可正常升级</t>
  </si>
  <si>
    <t>无提示直接失败，再次点击无响应</t>
  </si>
  <si>
    <t>P1</t>
  </si>
  <si>
    <t>iPhone 13</t>
  </si>
  <si>
    <t>iOS 16.7</t>
  </si>
  <si>
    <t>V2.0.9</t>
  </si>
  <si>
    <t>低电量判断逻辑在升级入口前未生效</t>
  </si>
  <si>
    <t>固件升级模块</t>
  </si>
  <si>
    <t>在升级前增加电量门槛校验并给出提示</t>
  </si>
  <si>
    <t>V2.1.4</t>
  </si>
  <si>
    <t>Fixed</t>
  </si>
  <si>
    <t>2026-09-02</t>
  </si>
  <si>
    <t>BUG-0831-004</t>
  </si>
  <si>
    <t>深色模式下设备名文字不可读</t>
  </si>
  <si>
    <t>PRJ-11 UI 与交互体验</t>
  </si>
  <si>
    <t>赵六</t>
  </si>
  <si>
    <t>1. 开启系统深色模式；2. 进入「附近蓝牙设备」页</t>
  </si>
  <si>
    <t>文字与背景对比度正常</t>
  </si>
  <si>
    <t>设备名深色文字叠深色背景，几乎看不清</t>
  </si>
  <si>
    <t>轻微</t>
  </si>
  <si>
    <t>P3</t>
  </si>
  <si>
    <t>小米 14</t>
  </si>
  <si>
    <t>Android 14</t>
  </si>
  <si>
    <t>-</t>
  </si>
  <si>
    <t>UI 样式</t>
  </si>
  <si>
    <t>深色模式适配补充色值</t>
  </si>
  <si>
    <t>V1.2.1</t>
  </si>
  <si>
    <t>验证通过</t>
  </si>
  <si>
    <t>Closed</t>
  </si>
  <si>
    <t>2026-09-04</t>
  </si>
  <si>
    <t>说明：J/K/W/C 列已设置下拉选项；示例数据仅供参考，请替换为实际记录。</t>
  </si>
  <si>
    <t>层次</t>
  </si>
  <si>
    <t>字段</t>
  </si>
  <si>
    <t>填法说明</t>
  </si>
  <si>
    <t>示例</t>
  </si>
  <si>
    <t>① 必填标识</t>
  </si>
  <si>
    <t>编号规则：BUG-月日-序号，唯一</t>
  </si>
  <si>
    <t>一句话：场景 + 现象，不写原因</t>
  </si>
  <si>
    <t>对应测试方案中的 PRJ 编号（下拉）</t>
  </si>
  <si>
    <t>发现人 / 发现日期</t>
  </si>
  <si>
    <t>测试提交人，日期格式 yyyy-mm-dd</t>
  </si>
  <si>
    <t>张三 / 2026-08-31</t>
  </si>
  <si>
    <t>② 缺陷复现</t>
  </si>
  <si>
    <t>可执行、可重复，精确到第几步出问题</t>
  </si>
  <si>
    <t>1.连接 2.走动至2米 3.观察</t>
  </si>
  <si>
    <t>按需求/规格应有表现</t>
  </si>
  <si>
    <t>连接保持稳定</t>
  </si>
  <si>
    <t>实际表现，与预期对照</t>
  </si>
  <si>
    <t>约 3 秒后自动断开</t>
  </si>
  <si>
    <t>必现/偶现(约x%)</t>
  </si>
  <si>
    <t>致命&gt;严重&gt;一般&gt;轻微（下拉）</t>
  </si>
  <si>
    <t>P0 阻塞发布 / P1 本版 / P2 下版 / P3 可缓（下拉）</t>
  </si>
  <si>
    <t>③ 测试环境</t>
  </si>
  <si>
    <t>手机型号 / 系统版本</t>
  </si>
  <si>
    <t>与复现强相关，必填</t>
  </si>
  <si>
    <t>iPhone 15 Pro / iOS 17.5</t>
  </si>
  <si>
    <t>App版本 / 固件版本</t>
  </si>
  <si>
    <t>BLE 类 bug 固件版本必填</t>
  </si>
  <si>
    <t>V1.2.0 / V2.1.3</t>
  </si>
  <si>
    <t>RSSI/距离</t>
  </si>
  <si>
    <t>弱信号场景务必记录</t>
  </si>
  <si>
    <t>-62 dBm / 2m</t>
  </si>
  <si>
    <t>抓包文件</t>
  </si>
  <si>
    <t>hci log / nRF Sniffer 文件名</t>
  </si>
  <si>
    <t>hci_log_0831_001.bin</t>
  </si>
  <si>
    <t>④ 定位与修复</t>
  </si>
  <si>
    <t>开发填写，一句话根因</t>
  </si>
  <si>
    <t>低电量判断未生效</t>
  </si>
  <si>
    <t>App/固件/协议哪一层</t>
  </si>
  <si>
    <t>修复方案 / 修复版本</t>
  </si>
  <si>
    <t>怎么修、修在哪个版本</t>
  </si>
  <si>
    <t>加电量门槛 / V2.1.4</t>
  </si>
  <si>
    <t>测试确认结果：验证通过/失败</t>
  </si>
  <si>
    <t>⑤ 状态管理</t>
  </si>
  <si>
    <t>New-&gt;Open-&gt;Fixed-&gt;Verified-&gt;Closed，失败打回 Reopened（下拉）</t>
  </si>
  <si>
    <t>指派给 / 处理截止</t>
  </si>
  <si>
    <t>责任到人，设定解决期限</t>
  </si>
  <si>
    <t>李四 / 2026-09-01</t>
  </si>
  <si>
    <t>回归通过后由测试关闭</t>
  </si>
  <si>
    <t>状态流转规则</t>
  </si>
  <si>
    <t>New(新建) -&gt; Open(处理中) -&gt; Fixed(已修复) -&gt; Verified(回归通过) -&gt; Closed(关闭)   ← Reopened(回归失败时打回)</t>
  </si>
  <si>
    <t>1. 测试提交：状态置 New，指派给开发；</t>
  </si>
  <si>
    <t>2. 开发确认：置 Open 并开始处理；</t>
  </si>
  <si>
    <t>3. 修复完成：置 Fixed，转回测试；</t>
  </si>
  <si>
    <t>4. 回归通过：置 Verified -&gt; Closed；</t>
  </si>
  <si>
    <t>5. 回归失败：置 Reopened 打回，重新处理；</t>
  </si>
  <si>
    <t>6. 非缺陷（无法复现/需求如此）：置 Closed 并备注原因。</t>
  </si>
  <si>
    <t>缺陷统计（基于「缺陷记录」自动计算）</t>
  </si>
  <si>
    <t>指标</t>
  </si>
  <si>
    <t>数量</t>
  </si>
  <si>
    <t>计算方式</t>
  </si>
  <si>
    <t>缺陷总数</t>
  </si>
  <si>
    <t>未关闭(New+Open+Fixed+Reopened)</t>
  </si>
  <si>
    <t>已关闭(Closed)</t>
  </si>
  <si>
    <t>P0 缺陷</t>
  </si>
  <si>
    <t>P1 缺陷</t>
  </si>
  <si>
    <t>致命缺陷</t>
  </si>
  <si>
    <t>严重缺陷</t>
  </si>
  <si>
    <t>回归验证通过</t>
  </si>
  <si>
    <t>回归验证失败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</si>
</sst>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i/>
      <sz val="9"/>
      <color rgb="FF5F5E5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85F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pane ySplit="1" topLeftCell="A2" activePane="bottomLeft" state="frozen"/>
      <selection/>
      <selection pane="bottomLeft" activeCell="C17" sqref="C17"/>
    </sheetView>
  </sheetViews>
  <sheetFormatPr defaultColWidth="9" defaultRowHeight="14" outlineLevelRow="6"/>
  <cols>
    <col min="1" max="1" width="14" customWidth="1"/>
    <col min="2" max="2" width="30" customWidth="1"/>
    <col min="3" max="3" width="22" customWidth="1"/>
    <col min="4" max="4" width="8" customWidth="1"/>
    <col min="5" max="5" width="11" customWidth="1"/>
    <col min="6" max="6" width="46" customWidth="1"/>
    <col min="7" max="8" width="26" customWidth="1"/>
    <col min="9" max="9" width="12" customWidth="1"/>
    <col min="10" max="10" width="9" customWidth="1"/>
    <col min="11" max="11" width="8" customWidth="1"/>
    <col min="12" max="12" width="13" customWidth="1"/>
    <col min="13" max="13" width="12" customWidth="1"/>
    <col min="14" max="15" width="9" customWidth="1"/>
    <col min="16" max="16" width="22" customWidth="1"/>
    <col min="17" max="17" width="14" customWidth="1"/>
    <col min="18" max="18" width="26" customWidth="1"/>
    <col min="19" max="19" width="9" customWidth="1"/>
    <col min="20" max="20" width="12" customWidth="1"/>
    <col min="21" max="21" width="10" customWidth="1"/>
    <col min="22" max="22" width="8" customWidth="1"/>
    <col min="23" max="24" width="11" customWidth="1"/>
  </cols>
  <sheetData>
    <row r="1" ht="14.5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29" spans="1:24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6" t="s">
        <v>29</v>
      </c>
      <c r="G2" s="6" t="s">
        <v>30</v>
      </c>
      <c r="H2" s="6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  <c r="O2" s="7" t="s">
        <v>38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39</v>
      </c>
    </row>
    <row r="3" ht="29" spans="1:24">
      <c r="A3" s="7" t="s">
        <v>43</v>
      </c>
      <c r="B3" s="7" t="s">
        <v>44</v>
      </c>
      <c r="C3" s="7" t="s">
        <v>26</v>
      </c>
      <c r="D3" s="7" t="s">
        <v>27</v>
      </c>
      <c r="E3" s="7" t="s">
        <v>28</v>
      </c>
      <c r="F3" s="6" t="s">
        <v>45</v>
      </c>
      <c r="G3" s="6" t="s">
        <v>46</v>
      </c>
      <c r="H3" s="6" t="s">
        <v>47</v>
      </c>
      <c r="I3" s="7" t="s">
        <v>48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37</v>
      </c>
      <c r="O3" s="7" t="s">
        <v>38</v>
      </c>
      <c r="P3" s="7" t="s">
        <v>39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40</v>
      </c>
      <c r="V3" s="7" t="s">
        <v>41</v>
      </c>
      <c r="W3" s="7" t="s">
        <v>53</v>
      </c>
      <c r="X3" s="7" t="s">
        <v>39</v>
      </c>
    </row>
    <row r="4" ht="29" spans="1:24">
      <c r="A4" s="7" t="s">
        <v>54</v>
      </c>
      <c r="B4" s="7" t="s">
        <v>55</v>
      </c>
      <c r="C4" s="7" t="s">
        <v>56</v>
      </c>
      <c r="D4" s="7" t="s">
        <v>57</v>
      </c>
      <c r="E4" s="7" t="s">
        <v>28</v>
      </c>
      <c r="F4" s="6" t="s">
        <v>58</v>
      </c>
      <c r="G4" s="6" t="s">
        <v>59</v>
      </c>
      <c r="H4" s="6" t="s">
        <v>60</v>
      </c>
      <c r="I4" s="7" t="s">
        <v>32</v>
      </c>
      <c r="J4" s="7" t="s">
        <v>33</v>
      </c>
      <c r="K4" s="7" t="s">
        <v>61</v>
      </c>
      <c r="L4" s="7" t="s">
        <v>62</v>
      </c>
      <c r="M4" s="7" t="s">
        <v>63</v>
      </c>
      <c r="N4" s="7" t="s">
        <v>37</v>
      </c>
      <c r="O4" s="7" t="s">
        <v>64</v>
      </c>
      <c r="P4" s="7" t="s">
        <v>65</v>
      </c>
      <c r="Q4" s="7" t="s">
        <v>66</v>
      </c>
      <c r="R4" s="7" t="s">
        <v>67</v>
      </c>
      <c r="S4" s="7" t="s">
        <v>68</v>
      </c>
      <c r="T4" s="7" t="s">
        <v>39</v>
      </c>
      <c r="U4" s="7" t="s">
        <v>69</v>
      </c>
      <c r="V4" s="7" t="s">
        <v>57</v>
      </c>
      <c r="W4" s="7" t="s">
        <v>70</v>
      </c>
      <c r="X4" s="7" t="s">
        <v>70</v>
      </c>
    </row>
    <row r="5" ht="29" spans="1:24">
      <c r="A5" s="7" t="s">
        <v>71</v>
      </c>
      <c r="B5" s="7" t="s">
        <v>72</v>
      </c>
      <c r="C5" s="7" t="s">
        <v>73</v>
      </c>
      <c r="D5" s="7" t="s">
        <v>74</v>
      </c>
      <c r="E5" s="7" t="s">
        <v>28</v>
      </c>
      <c r="F5" s="6" t="s">
        <v>75</v>
      </c>
      <c r="G5" s="6" t="s">
        <v>76</v>
      </c>
      <c r="H5" s="6" t="s">
        <v>77</v>
      </c>
      <c r="I5" s="7" t="s">
        <v>32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37</v>
      </c>
      <c r="O5" s="7" t="s">
        <v>82</v>
      </c>
      <c r="P5" s="7" t="s">
        <v>39</v>
      </c>
      <c r="Q5" s="7" t="s">
        <v>83</v>
      </c>
      <c r="R5" s="7" t="s">
        <v>84</v>
      </c>
      <c r="S5" s="7" t="s">
        <v>85</v>
      </c>
      <c r="T5" s="7" t="s">
        <v>86</v>
      </c>
      <c r="U5" s="7" t="s">
        <v>87</v>
      </c>
      <c r="V5" s="7" t="s">
        <v>74</v>
      </c>
      <c r="W5" s="7" t="s">
        <v>88</v>
      </c>
      <c r="X5" s="7" t="s">
        <v>88</v>
      </c>
    </row>
    <row r="7" spans="1:1">
      <c r="A7" s="8" t="s">
        <v>89</v>
      </c>
    </row>
  </sheetData>
  <autoFilter xmlns:etc="http://www.wps.cn/officeDocument/2017/etCustomData" ref="A1:X5" etc:filterBottomFollowUsedRange="0">
    <extLst/>
  </autoFilter>
  <dataValidations count="4">
    <dataValidation type="list" allowBlank="1" showErrorMessage="1" errorTitle="输入错误" error="请从下拉列表中选择。" sqref="C2:C200">
      <formula1>"PRJ-01 蓝牙扫描与连接,PRJ-02 蓝牙通信与协议,PRJ-03 状态与数据上报,PRJ-04 音频采集与传输,PRJ-05 固件升级（OTA/DFU）,PRJ-06 功耗与续航,PRJ-07 稳定性与压力,PRJ-08 兼容性,PRJ-09 异常与边界,PRJ-10 安全与隐私,PRJ-11 UI 与交互体验,PRJ-12 环境适应性与硬件"</formula1>
    </dataValidation>
    <dataValidation type="list" allowBlank="1" showErrorMessage="1" errorTitle="输入错误" error="请从下拉列表中选择。" sqref="J2:J200">
      <formula1>"致命,严重,一般,轻微"</formula1>
    </dataValidation>
    <dataValidation type="list" allowBlank="1" showErrorMessage="1" errorTitle="输入错误" error="请从下拉列表中选择。" sqref="K2:K200">
      <formula1>"P0,P1,P2,P3"</formula1>
    </dataValidation>
    <dataValidation type="list" allowBlank="1" showErrorMessage="1" errorTitle="输入错误" error="请从下拉列表中选择。" sqref="U2:U200">
      <formula1>"New,Open,Fixed,Verified,Closed,Reopened"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2" width="14" customWidth="1"/>
    <col min="3" max="3" width="52" customWidth="1"/>
    <col min="4" max="4" width="30" customWidth="1"/>
  </cols>
  <sheetData>
    <row r="1" ht="14.5" spans="1:4">
      <c r="A1" s="2" t="s">
        <v>90</v>
      </c>
      <c r="B1" s="2" t="s">
        <v>91</v>
      </c>
      <c r="C1" s="2" t="s">
        <v>92</v>
      </c>
      <c r="D1" s="2" t="s">
        <v>93</v>
      </c>
    </row>
    <row r="2" ht="14.5" spans="1:4">
      <c r="A2" s="6" t="s">
        <v>94</v>
      </c>
      <c r="B2" s="6" t="s">
        <v>0</v>
      </c>
      <c r="C2" s="6" t="s">
        <v>95</v>
      </c>
      <c r="D2" s="6" t="s">
        <v>24</v>
      </c>
    </row>
    <row r="3" ht="14.5" spans="1:4">
      <c r="A3" s="6" t="s">
        <v>39</v>
      </c>
      <c r="B3" s="6" t="s">
        <v>1</v>
      </c>
      <c r="C3" s="6" t="s">
        <v>96</v>
      </c>
      <c r="D3" s="6" t="s">
        <v>25</v>
      </c>
    </row>
    <row r="4" ht="14.5" spans="1:4">
      <c r="A4" s="6" t="s">
        <v>39</v>
      </c>
      <c r="B4" s="6" t="s">
        <v>2</v>
      </c>
      <c r="C4" s="6" t="s">
        <v>97</v>
      </c>
      <c r="D4" s="6" t="s">
        <v>26</v>
      </c>
    </row>
    <row r="5" ht="29" spans="1:4">
      <c r="A5" s="6" t="s">
        <v>39</v>
      </c>
      <c r="B5" s="6" t="s">
        <v>98</v>
      </c>
      <c r="C5" s="6" t="s">
        <v>99</v>
      </c>
      <c r="D5" s="6" t="s">
        <v>100</v>
      </c>
    </row>
    <row r="6" ht="14.5" spans="1:4">
      <c r="A6" s="6" t="s">
        <v>101</v>
      </c>
      <c r="B6" s="6" t="s">
        <v>5</v>
      </c>
      <c r="C6" s="6" t="s">
        <v>102</v>
      </c>
      <c r="D6" s="6" t="s">
        <v>103</v>
      </c>
    </row>
    <row r="7" ht="14.5" spans="1:4">
      <c r="A7" s="6" t="s">
        <v>39</v>
      </c>
      <c r="B7" s="6" t="s">
        <v>6</v>
      </c>
      <c r="C7" s="6" t="s">
        <v>104</v>
      </c>
      <c r="D7" s="6" t="s">
        <v>105</v>
      </c>
    </row>
    <row r="8" ht="14.5" spans="1:4">
      <c r="A8" s="6" t="s">
        <v>39</v>
      </c>
      <c r="B8" s="6" t="s">
        <v>7</v>
      </c>
      <c r="C8" s="6" t="s">
        <v>106</v>
      </c>
      <c r="D8" s="6" t="s">
        <v>107</v>
      </c>
    </row>
    <row r="9" ht="14.5" spans="1:4">
      <c r="A9" s="6" t="s">
        <v>39</v>
      </c>
      <c r="B9" s="6" t="s">
        <v>8</v>
      </c>
      <c r="C9" s="6" t="s">
        <v>108</v>
      </c>
      <c r="D9" s="6" t="s">
        <v>32</v>
      </c>
    </row>
    <row r="10" ht="14.5" spans="1:4">
      <c r="A10" s="6" t="s">
        <v>39</v>
      </c>
      <c r="B10" s="6" t="s">
        <v>9</v>
      </c>
      <c r="C10" s="6" t="s">
        <v>109</v>
      </c>
      <c r="D10" s="6" t="s">
        <v>33</v>
      </c>
    </row>
    <row r="11" ht="14.5" spans="1:4">
      <c r="A11" s="6" t="s">
        <v>39</v>
      </c>
      <c r="B11" s="6" t="s">
        <v>10</v>
      </c>
      <c r="C11" s="6" t="s">
        <v>110</v>
      </c>
      <c r="D11" s="6" t="s">
        <v>34</v>
      </c>
    </row>
    <row r="12" ht="29" spans="1:4">
      <c r="A12" s="6" t="s">
        <v>111</v>
      </c>
      <c r="B12" s="6" t="s">
        <v>112</v>
      </c>
      <c r="C12" s="6" t="s">
        <v>113</v>
      </c>
      <c r="D12" s="6" t="s">
        <v>114</v>
      </c>
    </row>
    <row r="13" ht="29" spans="1:4">
      <c r="A13" s="6" t="s">
        <v>39</v>
      </c>
      <c r="B13" s="6" t="s">
        <v>115</v>
      </c>
      <c r="C13" s="6" t="s">
        <v>116</v>
      </c>
      <c r="D13" s="6" t="s">
        <v>117</v>
      </c>
    </row>
    <row r="14" ht="14.5" spans="1:4">
      <c r="A14" s="6" t="s">
        <v>39</v>
      </c>
      <c r="B14" s="6" t="s">
        <v>118</v>
      </c>
      <c r="C14" s="6" t="s">
        <v>119</v>
      </c>
      <c r="D14" s="6" t="s">
        <v>120</v>
      </c>
    </row>
    <row r="15" ht="14.5" spans="1:4">
      <c r="A15" s="6" t="s">
        <v>39</v>
      </c>
      <c r="B15" s="6" t="s">
        <v>121</v>
      </c>
      <c r="C15" s="6" t="s">
        <v>122</v>
      </c>
      <c r="D15" s="6" t="s">
        <v>123</v>
      </c>
    </row>
    <row r="16" ht="14.5" spans="1:4">
      <c r="A16" s="6" t="s">
        <v>124</v>
      </c>
      <c r="B16" s="6" t="s">
        <v>15</v>
      </c>
      <c r="C16" s="6" t="s">
        <v>125</v>
      </c>
      <c r="D16" s="6" t="s">
        <v>126</v>
      </c>
    </row>
    <row r="17" ht="14.5" spans="1:4">
      <c r="A17" s="6" t="s">
        <v>39</v>
      </c>
      <c r="B17" s="6" t="s">
        <v>16</v>
      </c>
      <c r="C17" s="6" t="s">
        <v>127</v>
      </c>
      <c r="D17" s="6" t="s">
        <v>66</v>
      </c>
    </row>
    <row r="18" ht="29" spans="1:4">
      <c r="A18" s="6" t="s">
        <v>39</v>
      </c>
      <c r="B18" s="6" t="s">
        <v>128</v>
      </c>
      <c r="C18" s="6" t="s">
        <v>129</v>
      </c>
      <c r="D18" s="6" t="s">
        <v>130</v>
      </c>
    </row>
    <row r="19" ht="14.5" spans="1:4">
      <c r="A19" s="6" t="s">
        <v>39</v>
      </c>
      <c r="B19" s="6" t="s">
        <v>19</v>
      </c>
      <c r="C19" s="6" t="s">
        <v>131</v>
      </c>
      <c r="D19" s="6" t="s">
        <v>86</v>
      </c>
    </row>
    <row r="20" ht="29" spans="1:4">
      <c r="A20" s="6" t="s">
        <v>132</v>
      </c>
      <c r="B20" s="6" t="s">
        <v>20</v>
      </c>
      <c r="C20" s="6" t="s">
        <v>133</v>
      </c>
      <c r="D20" s="6" t="s">
        <v>87</v>
      </c>
    </row>
    <row r="21" ht="29" spans="1:4">
      <c r="A21" s="6" t="s">
        <v>39</v>
      </c>
      <c r="B21" s="6" t="s">
        <v>134</v>
      </c>
      <c r="C21" s="6" t="s">
        <v>135</v>
      </c>
      <c r="D21" s="6" t="s">
        <v>136</v>
      </c>
    </row>
    <row r="22" ht="14.5" spans="1:4">
      <c r="A22" s="6" t="s">
        <v>39</v>
      </c>
      <c r="B22" s="6" t="s">
        <v>23</v>
      </c>
      <c r="C22" s="6" t="s">
        <v>137</v>
      </c>
      <c r="D22" s="6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4"/>
  <cols>
    <col min="1" max="1" width="120" customWidth="1"/>
  </cols>
  <sheetData>
    <row r="1" ht="16.5" spans="1:1">
      <c r="A1" s="1" t="s">
        <v>138</v>
      </c>
    </row>
    <row r="2" ht="14.5" spans="1:1">
      <c r="A2" s="5" t="s">
        <v>139</v>
      </c>
    </row>
    <row r="3" ht="14.5" spans="1:1">
      <c r="A3" s="5"/>
    </row>
    <row r="4" ht="14.5" spans="1:1">
      <c r="A4" s="5" t="s">
        <v>140</v>
      </c>
    </row>
    <row r="5" ht="14.5" spans="1:1">
      <c r="A5" s="5" t="s">
        <v>141</v>
      </c>
    </row>
    <row r="6" ht="14.5" spans="1:1">
      <c r="A6" s="5" t="s">
        <v>142</v>
      </c>
    </row>
    <row r="7" ht="14.5" spans="1:1">
      <c r="A7" s="5" t="s">
        <v>143</v>
      </c>
    </row>
    <row r="8" ht="14.5" spans="1:1">
      <c r="A8" s="5" t="s">
        <v>144</v>
      </c>
    </row>
    <row r="9" ht="14.5" spans="1:1">
      <c r="A9" s="5" t="s">
        <v>145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4" sqref="B4:B12"/>
    </sheetView>
  </sheetViews>
  <sheetFormatPr defaultColWidth="9" defaultRowHeight="14" outlineLevelCol="2"/>
  <cols>
    <col min="1" max="1" width="24" customWidth="1"/>
    <col min="2" max="2" width="10" customWidth="1"/>
    <col min="3" max="3" width="60" customWidth="1"/>
  </cols>
  <sheetData>
    <row r="1" ht="16.5" spans="1:1">
      <c r="A1" s="1" t="s">
        <v>146</v>
      </c>
    </row>
    <row r="3" ht="14.5" spans="1:3">
      <c r="A3" s="2" t="s">
        <v>147</v>
      </c>
      <c r="B3" s="2" t="s">
        <v>148</v>
      </c>
      <c r="C3" s="2" t="s">
        <v>149</v>
      </c>
    </row>
    <row r="4" ht="14.5" spans="1:3">
      <c r="A4" s="3" t="s">
        <v>150</v>
      </c>
      <c r="B4" s="4">
        <f>COUNTA(缺陷记录!A2:A200)</f>
        <v>5</v>
      </c>
      <c r="C4" s="4" t="s">
        <v>39</v>
      </c>
    </row>
    <row r="5" ht="14.5" spans="1:3">
      <c r="A5" s="3" t="s">
        <v>151</v>
      </c>
      <c r="B5" s="4">
        <f>SUMPRODUCT(--ISNUMBER(MATCH(缺陷记录!U2:U200,{"New","Open","Fixed","Reopened"},0)))</f>
        <v>3</v>
      </c>
      <c r="C5" s="4" t="s">
        <v>39</v>
      </c>
    </row>
    <row r="6" ht="14.5" spans="1:3">
      <c r="A6" s="3" t="s">
        <v>152</v>
      </c>
      <c r="B6" s="4">
        <f>COUNTIF(缺陷记录!U2:U200,"Closed")</f>
        <v>1</v>
      </c>
      <c r="C6" s="4" t="s">
        <v>39</v>
      </c>
    </row>
    <row r="7" ht="14.5" spans="1:3">
      <c r="A7" s="3" t="s">
        <v>153</v>
      </c>
      <c r="B7" s="4">
        <f>COUNTIF(缺陷记录!K2:K200,"P0")</f>
        <v>1</v>
      </c>
      <c r="C7" s="4" t="s">
        <v>39</v>
      </c>
    </row>
    <row r="8" ht="14.5" spans="1:3">
      <c r="A8" s="3" t="s">
        <v>154</v>
      </c>
      <c r="B8" s="4">
        <f>COUNTIF(缺陷记录!K2:K200,"P1")</f>
        <v>1</v>
      </c>
      <c r="C8" s="4" t="s">
        <v>39</v>
      </c>
    </row>
    <row r="9" ht="14.5" spans="1:3">
      <c r="A9" s="3" t="s">
        <v>155</v>
      </c>
      <c r="B9" s="4">
        <f>COUNTIF(缺陷记录!J2:J200,"致命")</f>
        <v>0</v>
      </c>
      <c r="C9" s="4" t="s">
        <v>39</v>
      </c>
    </row>
    <row r="10" ht="14.5" spans="1:3">
      <c r="A10" s="3" t="s">
        <v>156</v>
      </c>
      <c r="B10" s="4">
        <f>COUNTIF(缺陷记录!J2:J200,"严重")</f>
        <v>2</v>
      </c>
      <c r="C10" s="4" t="s">
        <v>39</v>
      </c>
    </row>
    <row r="11" ht="14.5" spans="1:3">
      <c r="A11" s="3" t="s">
        <v>157</v>
      </c>
      <c r="B11" s="4">
        <f>COUNTIF(缺陷记录!T2:T200,"验证通过")</f>
        <v>1</v>
      </c>
      <c r="C11" s="4" t="s">
        <v>39</v>
      </c>
    </row>
    <row r="12" ht="14.5" spans="1:3">
      <c r="A12" s="3" t="s">
        <v>158</v>
      </c>
      <c r="B12" s="4">
        <f>COUNTIF(缺陷记录!T2:T200,"*失败*")</f>
        <v>0</v>
      </c>
      <c r="C12" s="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缺陷记录</vt:lpstr>
      <vt:lpstr>字段说明</vt:lpstr>
      <vt:lpstr>状态流转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月落乌瞳泪成虹！</cp:lastModifiedBy>
  <dcterms:created xsi:type="dcterms:W3CDTF">2026-08-31T09:23:00Z</dcterms:created>
  <dcterms:modified xsi:type="dcterms:W3CDTF">2026-09-01T07:47:53Z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A2A52C8C5EB84426BB18349C1893FE0A_12</vt:lpwstr>
  </property>
  <property fmtid="{D5CDD505-2E9C-101B-9397-08002B2CF9AE}" pid="3" name="KSOProductBuildVer">
    <vt:lpwstr>2052-12.1.0.20305</vt:lpwstr>
  </property>
</Properties>
</file>